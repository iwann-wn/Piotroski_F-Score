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3246FE1-414F-4A40-A3CB-65F13476E2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3" l="1"/>
</calcChain>
</file>

<file path=xl/sharedStrings.xml><?xml version="1.0" encoding="utf-8"?>
<sst xmlns="http://schemas.openxmlformats.org/spreadsheetml/2006/main" count="81" uniqueCount="52">
  <si>
    <t>net_income</t>
  </si>
  <si>
    <t>operating_cashflow</t>
  </si>
  <si>
    <t>kode_saham</t>
  </si>
  <si>
    <t>tahun</t>
  </si>
  <si>
    <t>return_on_asset_previous</t>
  </si>
  <si>
    <t>return_on_asset_now</t>
  </si>
  <si>
    <t>long_term_debt_to_asset_previous</t>
  </si>
  <si>
    <t>long_term_debt_to_asset_now</t>
  </si>
  <si>
    <t>current_ratio_previous</t>
  </si>
  <si>
    <t>current_ratio_now</t>
  </si>
  <si>
    <t>outstanding_shares_previous</t>
  </si>
  <si>
    <t>outstanding_shares_now</t>
  </si>
  <si>
    <t>gross_margin_previous</t>
  </si>
  <si>
    <t>gross_margin_now</t>
  </si>
  <si>
    <t>asset_turnover_previous</t>
  </si>
  <si>
    <t>asset_turnover_now</t>
  </si>
  <si>
    <t>ADRO</t>
  </si>
  <si>
    <t>AKRA</t>
  </si>
  <si>
    <t>AMRT</t>
  </si>
  <si>
    <t>ANTM</t>
  </si>
  <si>
    <t>ARTO</t>
  </si>
  <si>
    <t>ASII</t>
  </si>
  <si>
    <t>BBCA</t>
  </si>
  <si>
    <t>BBNI</t>
  </si>
  <si>
    <t>BBRI</t>
  </si>
  <si>
    <t>BMRI</t>
  </si>
  <si>
    <t>BRPT</t>
  </si>
  <si>
    <t>BUKA</t>
  </si>
  <si>
    <t>CPIN</t>
  </si>
  <si>
    <t>EMTK</t>
  </si>
  <si>
    <t>ESSA</t>
  </si>
  <si>
    <t>GOTO</t>
  </si>
  <si>
    <t>HRUM</t>
  </si>
  <si>
    <t>INCO</t>
  </si>
  <si>
    <t>INDF</t>
  </si>
  <si>
    <t>ITMG</t>
  </si>
  <si>
    <t>KLBF</t>
  </si>
  <si>
    <t>MDKA</t>
  </si>
  <si>
    <t>MEDC</t>
  </si>
  <si>
    <t>PGAS</t>
  </si>
  <si>
    <t>PTBA</t>
  </si>
  <si>
    <t>SMGR</t>
  </si>
  <si>
    <t>TLKM</t>
  </si>
  <si>
    <t>TOWR</t>
  </si>
  <si>
    <t>UNTR</t>
  </si>
  <si>
    <t>UNVR</t>
  </si>
  <si>
    <t>2021/2022</t>
  </si>
  <si>
    <t>gross margin = laba kotor / pendapatan</t>
  </si>
  <si>
    <t>laba kotor = income statment -&gt; Laba Kotor</t>
  </si>
  <si>
    <t>pendapatan = income statment -&gt; total pendapatan</t>
  </si>
  <si>
    <t>6,295,173,000 </t>
  </si>
  <si>
    <t>11,035,650,000 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</si>
</sst>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2" borderId="0" xfId="0" applyFont="1" applyFill="1"/>
    <xf numFmtId="0" fontId="5" fillId="0" borderId="0" xfId="0" applyFont="1"/>
    <xf numFmtId="10" fontId="0" fillId="0" borderId="0" xfId="1" applyNumberFormat="1" applyFont="1"/>
    <xf numFmtId="0" fontId="1" fillId="0" borderId="0" xfId="1" applyNumberFormat="1" applyFont="1" applyFill="1"/>
    <xf numFmtId="43" fontId="1" fillId="0" borderId="0" xfId="2" applyFont="1" applyFill="1"/>
    <xf numFmtId="20" fontId="1" fillId="0" borderId="0" xfId="0" applyNumberFormat="1" applyFont="1"/>
    <xf numFmtId="2" fontId="1" fillId="0" borderId="0" xfId="0" applyNumberFormat="1" applyFont="1"/>
    <xf numFmtId="2" fontId="1" fillId="0" borderId="0" xfId="1" applyNumberFormat="1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K1" zoomScale="70" zoomScaleNormal="70" workbookViewId="0">
      <selection activeCell="O10" sqref="O10"/>
    </sheetView>
  </sheetViews>
  <sheetFormatPr defaultRowHeight="15.5" x14ac:dyDescent="0.35"/>
  <cols>
    <col min="1" max="1" width="19.08984375" style="1" bestFit="1" customWidth="1"/>
    <col min="2" max="2" width="11.08984375" style="1" bestFit="1" customWidth="1"/>
    <col min="3" max="3" width="20.36328125" style="1" bestFit="1" customWidth="1"/>
    <col min="4" max="4" width="29.08984375" style="1" bestFit="1" customWidth="1"/>
    <col min="5" max="5" width="38.81640625" style="1" bestFit="1" customWidth="1"/>
    <col min="6" max="6" width="32.1796875" style="1" bestFit="1" customWidth="1"/>
    <col min="7" max="7" width="51.54296875" style="1" bestFit="1" customWidth="1"/>
    <col min="8" max="8" width="44.90625" style="1" bestFit="1" customWidth="1"/>
    <col min="9" max="9" width="34.54296875" style="1" bestFit="1" customWidth="1"/>
    <col min="10" max="10" width="28" style="1" bestFit="1" customWidth="1"/>
    <col min="11" max="11" width="43.6328125" style="1" bestFit="1" customWidth="1"/>
    <col min="12" max="12" width="37" style="1" bestFit="1" customWidth="1"/>
    <col min="13" max="13" width="35.453125" style="1" bestFit="1" customWidth="1"/>
    <col min="14" max="14" width="28.81640625" style="1" bestFit="1" customWidth="1"/>
    <col min="15" max="15" width="36.81640625" style="1" bestFit="1" customWidth="1"/>
    <col min="16" max="16" width="30.1796875" style="1" bestFit="1" customWidth="1"/>
    <col min="17" max="17" width="12.90625" style="1" customWidth="1"/>
    <col min="18" max="16384" width="8.7265625" style="1"/>
  </cols>
  <sheetData>
    <row r="1" spans="1:16" ht="22.5" x14ac:dyDescent="0.45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1" t="s">
        <v>16</v>
      </c>
      <c r="B2" s="1" t="s">
        <v>46</v>
      </c>
      <c r="C2" s="6">
        <v>38872103360</v>
      </c>
      <c r="D2" s="6">
        <v>60251448368</v>
      </c>
      <c r="E2" s="8">
        <v>12.3</v>
      </c>
      <c r="F2" s="1">
        <v>23.12</v>
      </c>
      <c r="G2" s="1">
        <v>0.18</v>
      </c>
      <c r="H2" s="1">
        <v>0.13</v>
      </c>
      <c r="I2" s="7">
        <v>2.08</v>
      </c>
      <c r="J2" s="7">
        <v>2.17</v>
      </c>
      <c r="K2" s="6">
        <v>31985962000</v>
      </c>
      <c r="L2" s="6">
        <v>31985962000</v>
      </c>
      <c r="M2" s="1">
        <v>44</v>
      </c>
      <c r="N2" s="1">
        <v>57</v>
      </c>
      <c r="O2" s="1">
        <v>0.57999999999999996</v>
      </c>
      <c r="P2" s="1">
        <v>0.91</v>
      </c>
    </row>
    <row r="3" spans="1:16" x14ac:dyDescent="0.35">
      <c r="A3" s="1" t="s">
        <v>17</v>
      </c>
      <c r="B3" s="1" t="s">
        <v>46</v>
      </c>
      <c r="C3" s="6">
        <v>2403334889</v>
      </c>
      <c r="D3" s="6">
        <v>2628813082</v>
      </c>
      <c r="E3" s="1">
        <v>4.7300000000000004</v>
      </c>
      <c r="F3" s="1">
        <v>8.84</v>
      </c>
      <c r="G3" s="1">
        <v>0.09</v>
      </c>
      <c r="H3" s="1">
        <v>0.08</v>
      </c>
      <c r="I3" s="1">
        <v>1.29</v>
      </c>
      <c r="J3" s="8">
        <v>1.4</v>
      </c>
      <c r="K3" s="6">
        <v>4014694920</v>
      </c>
      <c r="L3" s="6">
        <v>20073474600</v>
      </c>
      <c r="M3" s="1">
        <v>9</v>
      </c>
      <c r="N3" s="1">
        <v>9</v>
      </c>
      <c r="O3" s="1">
        <v>1.22</v>
      </c>
      <c r="P3" s="1">
        <v>1.88</v>
      </c>
    </row>
    <row r="4" spans="1:16" x14ac:dyDescent="0.35">
      <c r="A4" s="1" t="s">
        <v>18</v>
      </c>
      <c r="B4" s="1" t="s">
        <v>46</v>
      </c>
      <c r="C4" s="6">
        <v>2855284000</v>
      </c>
      <c r="D4" s="6">
        <v>7062488000</v>
      </c>
      <c r="E4" s="8">
        <v>7.1</v>
      </c>
      <c r="F4" s="1">
        <v>9.2899999999999991</v>
      </c>
      <c r="G4" s="1">
        <v>0.04</v>
      </c>
      <c r="H4" s="1">
        <v>0.04</v>
      </c>
      <c r="I4" s="1">
        <v>0.87</v>
      </c>
      <c r="J4" s="8">
        <v>0.9</v>
      </c>
      <c r="K4" s="6">
        <v>41524501700</v>
      </c>
      <c r="L4" s="6">
        <v>41524501700</v>
      </c>
      <c r="M4" s="1">
        <v>21</v>
      </c>
      <c r="N4" s="1">
        <v>21</v>
      </c>
      <c r="O4" s="1">
        <v>3.18</v>
      </c>
      <c r="P4" s="1">
        <v>3.33</v>
      </c>
    </row>
    <row r="5" spans="1:16" x14ac:dyDescent="0.35">
      <c r="A5" s="1" t="s">
        <v>19</v>
      </c>
      <c r="B5" s="1" t="s">
        <v>46</v>
      </c>
      <c r="C5" s="6">
        <v>3820965000</v>
      </c>
      <c r="D5" s="6">
        <v>4108037000</v>
      </c>
      <c r="E5" s="1">
        <v>5.66</v>
      </c>
      <c r="F5" s="1">
        <v>11.36</v>
      </c>
      <c r="G5" s="1">
        <v>0.12</v>
      </c>
      <c r="H5" s="1">
        <v>0.06</v>
      </c>
      <c r="I5" s="1">
        <v>1.79</v>
      </c>
      <c r="J5" s="1">
        <v>1.96</v>
      </c>
      <c r="K5" s="6">
        <v>24030764725</v>
      </c>
      <c r="L5" s="6">
        <v>24030764725</v>
      </c>
      <c r="M5" s="1">
        <v>17</v>
      </c>
      <c r="N5" s="1">
        <v>18</v>
      </c>
      <c r="O5" s="1">
        <v>1.19</v>
      </c>
      <c r="P5" s="1">
        <v>1.38</v>
      </c>
    </row>
    <row r="6" spans="1:16" x14ac:dyDescent="0.35">
      <c r="A6" s="1" t="s">
        <v>20</v>
      </c>
      <c r="B6" s="1" t="s">
        <v>46</v>
      </c>
      <c r="C6" s="6">
        <v>15913000</v>
      </c>
      <c r="D6" s="6">
        <v>1504729000</v>
      </c>
      <c r="E6" s="8">
        <v>0.7</v>
      </c>
      <c r="F6" s="1">
        <v>0.09</v>
      </c>
      <c r="G6" s="8">
        <v>0</v>
      </c>
      <c r="H6" s="8">
        <v>0</v>
      </c>
      <c r="I6" s="8">
        <v>0</v>
      </c>
      <c r="J6" s="8">
        <v>0</v>
      </c>
      <c r="K6" s="6">
        <v>13856250000</v>
      </c>
      <c r="L6" s="6">
        <v>13856250000</v>
      </c>
      <c r="M6" s="1">
        <v>90</v>
      </c>
      <c r="N6" s="1">
        <v>90</v>
      </c>
      <c r="O6" s="1">
        <v>0.09</v>
      </c>
      <c r="P6" s="8">
        <v>0.1</v>
      </c>
    </row>
    <row r="7" spans="1:16" x14ac:dyDescent="0.35">
      <c r="A7" s="1" t="s">
        <v>21</v>
      </c>
      <c r="B7" s="1" t="s">
        <v>46</v>
      </c>
      <c r="C7" s="6">
        <v>28944000000</v>
      </c>
      <c r="D7" s="6">
        <v>37342000000</v>
      </c>
      <c r="E7" s="8">
        <v>5.5</v>
      </c>
      <c r="F7" s="8">
        <v>7</v>
      </c>
      <c r="G7" s="1">
        <v>0.09</v>
      </c>
      <c r="H7" s="1">
        <v>0.09</v>
      </c>
      <c r="I7" s="1">
        <v>1.54</v>
      </c>
      <c r="J7" s="1">
        <v>1.51</v>
      </c>
      <c r="K7" s="6">
        <v>40483553140</v>
      </c>
      <c r="L7" s="6">
        <v>40483553140</v>
      </c>
      <c r="M7" s="1">
        <v>22</v>
      </c>
      <c r="N7" s="1">
        <v>23</v>
      </c>
      <c r="O7" s="1">
        <v>0.66</v>
      </c>
      <c r="P7" s="1">
        <v>0.77</v>
      </c>
    </row>
    <row r="8" spans="1:16" x14ac:dyDescent="0.35">
      <c r="A8" s="1" t="s">
        <v>22</v>
      </c>
      <c r="B8" s="1" t="s">
        <v>46</v>
      </c>
      <c r="C8" s="6">
        <v>40735722000</v>
      </c>
      <c r="D8" s="6">
        <v>33779263000</v>
      </c>
      <c r="E8" s="1">
        <v>2.56</v>
      </c>
      <c r="F8" s="8">
        <v>3.1</v>
      </c>
      <c r="G8" s="8">
        <v>0</v>
      </c>
      <c r="H8" s="8">
        <v>0</v>
      </c>
      <c r="I8" s="8">
        <v>0</v>
      </c>
      <c r="J8" s="8">
        <v>0</v>
      </c>
      <c r="K8" s="6">
        <v>123275050000</v>
      </c>
      <c r="L8" s="6">
        <v>123275050000</v>
      </c>
      <c r="M8" s="1">
        <v>88</v>
      </c>
      <c r="N8" s="1">
        <v>91</v>
      </c>
      <c r="O8" s="1">
        <v>7.0000000000000007E-2</v>
      </c>
      <c r="P8" s="1">
        <v>7.0000000000000007E-2</v>
      </c>
    </row>
    <row r="9" spans="1:16" x14ac:dyDescent="0.35">
      <c r="A9" s="1" t="s">
        <v>23</v>
      </c>
      <c r="B9" s="1" t="s">
        <v>46</v>
      </c>
      <c r="C9" s="6">
        <v>18312054000</v>
      </c>
      <c r="D9" s="6">
        <v>19952835000</v>
      </c>
      <c r="E9" s="1">
        <v>1.1299999999999999</v>
      </c>
      <c r="F9" s="1">
        <v>1.78</v>
      </c>
      <c r="G9" s="1">
        <v>0.02</v>
      </c>
      <c r="H9" s="1">
        <v>0.02</v>
      </c>
      <c r="I9" s="8">
        <v>0</v>
      </c>
      <c r="J9" s="8">
        <v>0</v>
      </c>
      <c r="K9" s="6">
        <v>18648656458</v>
      </c>
      <c r="L9" s="6">
        <v>18648656458</v>
      </c>
      <c r="M9" s="1">
        <v>71</v>
      </c>
      <c r="N9" s="1">
        <v>70</v>
      </c>
      <c r="O9" s="1">
        <v>0.06</v>
      </c>
      <c r="P9" s="1">
        <v>0.06</v>
      </c>
    </row>
    <row r="10" spans="1:16" x14ac:dyDescent="0.35">
      <c r="A10" s="1" t="s">
        <v>24</v>
      </c>
      <c r="B10" s="1" t="s">
        <v>46</v>
      </c>
      <c r="C10" s="6">
        <v>51170312000</v>
      </c>
      <c r="D10" s="6">
        <v>97506005000</v>
      </c>
      <c r="E10" s="1">
        <v>1.85</v>
      </c>
      <c r="F10" s="1">
        <v>2.74</v>
      </c>
      <c r="G10" s="8">
        <v>0</v>
      </c>
      <c r="H10" s="8">
        <v>0</v>
      </c>
      <c r="I10" s="8">
        <v>0</v>
      </c>
      <c r="J10" s="8">
        <v>0</v>
      </c>
      <c r="K10" s="6">
        <v>151559001604</v>
      </c>
      <c r="L10" s="6">
        <v>151559001604</v>
      </c>
      <c r="M10" s="1">
        <v>76</v>
      </c>
      <c r="N10" s="1">
        <v>78</v>
      </c>
      <c r="O10" s="1">
        <v>0.09</v>
      </c>
      <c r="P10" s="1">
        <v>0.09</v>
      </c>
    </row>
    <row r="11" spans="1:16" x14ac:dyDescent="0.35">
      <c r="A11" s="1" t="s">
        <v>25</v>
      </c>
      <c r="B11" s="1" t="s">
        <v>46</v>
      </c>
      <c r="C11" s="6">
        <v>41170637000</v>
      </c>
      <c r="D11" s="6">
        <v>100726048000</v>
      </c>
      <c r="E11" s="1">
        <v>1.62</v>
      </c>
      <c r="F11" s="1">
        <v>2.0699999999999998</v>
      </c>
      <c r="G11" s="8">
        <v>0</v>
      </c>
      <c r="H11" s="8">
        <v>0</v>
      </c>
      <c r="I11" s="8">
        <v>0</v>
      </c>
      <c r="J11" s="8">
        <v>0</v>
      </c>
      <c r="K11" s="6">
        <v>46666666666</v>
      </c>
      <c r="L11" s="6">
        <v>46666666666</v>
      </c>
      <c r="M11" s="1">
        <v>66</v>
      </c>
      <c r="N11" s="1">
        <v>71</v>
      </c>
      <c r="O11" s="1">
        <v>7.0000000000000007E-2</v>
      </c>
      <c r="P11" s="1">
        <v>7.0000000000000007E-2</v>
      </c>
    </row>
    <row r="12" spans="1:16" x14ac:dyDescent="0.35">
      <c r="A12" s="1" t="s">
        <v>26</v>
      </c>
      <c r="B12" s="1" t="s">
        <v>46</v>
      </c>
      <c r="C12" s="6">
        <v>27426328</v>
      </c>
      <c r="D12" s="6">
        <v>-2071584304</v>
      </c>
      <c r="E12" s="1">
        <v>1.18</v>
      </c>
      <c r="F12" s="1">
        <v>0.02</v>
      </c>
      <c r="G12" s="1">
        <v>0.31</v>
      </c>
      <c r="H12" s="1">
        <v>0.41</v>
      </c>
      <c r="I12" s="1">
        <v>3.15</v>
      </c>
      <c r="J12" s="8">
        <v>3.7</v>
      </c>
      <c r="K12" s="6">
        <v>93747218044</v>
      </c>
      <c r="L12" s="6">
        <v>93747218044</v>
      </c>
      <c r="M12" s="1">
        <v>25</v>
      </c>
      <c r="N12" s="1">
        <v>15</v>
      </c>
      <c r="O12" s="1">
        <v>0.38</v>
      </c>
      <c r="P12" s="1">
        <v>0.33</v>
      </c>
    </row>
    <row r="13" spans="1:16" x14ac:dyDescent="0.35">
      <c r="A13" s="1" t="s">
        <v>27</v>
      </c>
      <c r="B13" s="1" t="s">
        <v>46</v>
      </c>
      <c r="C13" s="6">
        <v>1983630005</v>
      </c>
      <c r="D13" s="6">
        <v>-631686387</v>
      </c>
      <c r="E13" s="1">
        <v>-6.29</v>
      </c>
      <c r="F13" s="1">
        <v>7.24</v>
      </c>
      <c r="G13" s="8">
        <v>0</v>
      </c>
      <c r="H13" s="8">
        <v>0</v>
      </c>
      <c r="I13" s="1">
        <v>8.59</v>
      </c>
      <c r="J13" s="1">
        <v>27.21</v>
      </c>
      <c r="K13" s="6">
        <v>103062019354</v>
      </c>
      <c r="L13" s="6">
        <v>103066477454</v>
      </c>
      <c r="M13" s="1">
        <v>76</v>
      </c>
      <c r="N13" s="1">
        <v>29</v>
      </c>
      <c r="O13" s="1">
        <v>0.13</v>
      </c>
      <c r="P13" s="1">
        <v>0.13</v>
      </c>
    </row>
    <row r="14" spans="1:16" x14ac:dyDescent="0.35">
      <c r="A14" s="1" t="s">
        <v>28</v>
      </c>
      <c r="B14" s="1" t="s">
        <v>46</v>
      </c>
      <c r="C14" s="6">
        <v>2928342000</v>
      </c>
      <c r="D14" s="6">
        <v>1673887000</v>
      </c>
      <c r="E14" s="1">
        <v>10.220000000000001</v>
      </c>
      <c r="F14" s="1">
        <v>7.35</v>
      </c>
      <c r="G14" s="1">
        <v>0.04</v>
      </c>
      <c r="H14" s="1">
        <v>0.06</v>
      </c>
      <c r="I14" s="1">
        <v>2.0099999999999998</v>
      </c>
      <c r="J14" s="1">
        <v>1.78</v>
      </c>
      <c r="K14" s="6">
        <v>16398000000</v>
      </c>
      <c r="L14" s="6">
        <v>16398000000</v>
      </c>
      <c r="M14" s="1">
        <v>16</v>
      </c>
      <c r="N14" s="1">
        <v>14</v>
      </c>
      <c r="O14" s="1">
        <v>1.55</v>
      </c>
      <c r="P14" s="1">
        <v>1.51</v>
      </c>
    </row>
    <row r="15" spans="1:16" x14ac:dyDescent="0.35">
      <c r="A15" s="1" t="s">
        <v>29</v>
      </c>
      <c r="B15" s="1" t="s">
        <v>46</v>
      </c>
      <c r="C15" s="6">
        <v>5444009955</v>
      </c>
      <c r="D15" s="6">
        <v>-810999249</v>
      </c>
      <c r="E15" s="1">
        <v>14.83</v>
      </c>
      <c r="F15" s="1">
        <v>12.24</v>
      </c>
      <c r="G15" s="1">
        <v>0.02</v>
      </c>
      <c r="H15" s="1">
        <v>0.02</v>
      </c>
      <c r="I15" s="1">
        <v>4.03</v>
      </c>
      <c r="J15" s="1">
        <v>5.27</v>
      </c>
      <c r="K15" s="6">
        <v>61241751483</v>
      </c>
      <c r="L15" s="6">
        <v>61241751483</v>
      </c>
      <c r="M15" s="1">
        <v>29</v>
      </c>
      <c r="N15" s="1">
        <v>22</v>
      </c>
      <c r="O15" s="1">
        <v>0.46</v>
      </c>
      <c r="P15" s="1">
        <v>0.38</v>
      </c>
    </row>
    <row r="16" spans="1:16" x14ac:dyDescent="0.35">
      <c r="A16" s="1" t="s">
        <v>30</v>
      </c>
      <c r="B16" s="1" t="s">
        <v>46</v>
      </c>
      <c r="C16" s="6">
        <v>2164810026</v>
      </c>
      <c r="D16" s="6">
        <v>4964666635</v>
      </c>
      <c r="E16" s="1">
        <v>1.73</v>
      </c>
      <c r="F16" s="8">
        <v>16.7</v>
      </c>
      <c r="G16" s="8">
        <v>0.5</v>
      </c>
      <c r="H16" s="1">
        <v>0.21</v>
      </c>
      <c r="I16" s="1">
        <v>1.62</v>
      </c>
      <c r="J16" s="1">
        <v>2.14</v>
      </c>
      <c r="K16" s="6">
        <v>15660887000</v>
      </c>
      <c r="L16" s="6">
        <v>15660887000</v>
      </c>
      <c r="M16" s="1">
        <v>36</v>
      </c>
      <c r="N16" s="1">
        <v>47</v>
      </c>
      <c r="O16" s="1">
        <v>0.38</v>
      </c>
      <c r="P16" s="1">
        <v>0.93</v>
      </c>
    </row>
    <row r="17" spans="1:16" x14ac:dyDescent="0.35">
      <c r="A17" s="1" t="s">
        <v>31</v>
      </c>
      <c r="B17" s="1" t="s">
        <v>46</v>
      </c>
      <c r="C17" s="6">
        <v>-39571161000</v>
      </c>
      <c r="D17" s="6">
        <v>-17206303000</v>
      </c>
      <c r="E17" s="1">
        <v>-13.79</v>
      </c>
      <c r="F17" s="1">
        <v>-28.42</v>
      </c>
      <c r="G17" s="8">
        <v>0</v>
      </c>
      <c r="H17" s="1">
        <v>0.01</v>
      </c>
      <c r="I17" s="1">
        <v>2.93</v>
      </c>
      <c r="J17" s="1">
        <v>2.81</v>
      </c>
      <c r="K17" s="6">
        <v>1143748873502</v>
      </c>
      <c r="L17" s="6">
        <v>1184363929502</v>
      </c>
      <c r="M17" s="1">
        <v>17</v>
      </c>
      <c r="N17" s="1">
        <v>52</v>
      </c>
      <c r="O17" s="1">
        <v>0.05</v>
      </c>
      <c r="P17" s="1">
        <v>0.08</v>
      </c>
    </row>
    <row r="18" spans="1:16" x14ac:dyDescent="0.35">
      <c r="A18" s="1" t="s">
        <v>32</v>
      </c>
      <c r="B18" s="1" t="s">
        <v>46</v>
      </c>
      <c r="C18" s="6">
        <v>4704942225</v>
      </c>
      <c r="D18" s="6">
        <v>6214833351</v>
      </c>
      <c r="E18" s="1">
        <v>8.48</v>
      </c>
      <c r="F18" s="1">
        <v>23.6</v>
      </c>
      <c r="G18" s="1">
        <v>0.09</v>
      </c>
      <c r="H18" s="8">
        <v>0</v>
      </c>
      <c r="I18" s="1">
        <v>3.07</v>
      </c>
      <c r="J18" s="8">
        <v>2.2999999999999998</v>
      </c>
      <c r="K18" s="6">
        <v>2703620000</v>
      </c>
      <c r="L18" s="6">
        <v>13518100000</v>
      </c>
      <c r="M18" s="1">
        <v>52</v>
      </c>
      <c r="N18" s="1">
        <v>60</v>
      </c>
      <c r="O18" s="1">
        <v>0.49</v>
      </c>
      <c r="P18" s="1">
        <v>0.87</v>
      </c>
    </row>
    <row r="19" spans="1:16" x14ac:dyDescent="0.35">
      <c r="A19" s="1" t="s">
        <v>33</v>
      </c>
      <c r="B19" s="1" t="s">
        <v>46</v>
      </c>
      <c r="C19" s="6">
        <v>3124652392</v>
      </c>
      <c r="D19" s="6">
        <v>5428479536</v>
      </c>
      <c r="E19" s="8">
        <v>6.7</v>
      </c>
      <c r="F19" s="1">
        <v>7.54</v>
      </c>
      <c r="G19" s="8">
        <v>0</v>
      </c>
      <c r="H19" s="8">
        <v>0</v>
      </c>
      <c r="I19" s="1">
        <v>4.97</v>
      </c>
      <c r="J19" s="1">
        <v>5.65</v>
      </c>
      <c r="K19" s="6">
        <v>9936338720</v>
      </c>
      <c r="L19" s="6">
        <v>9936338720</v>
      </c>
      <c r="M19" s="1">
        <v>25</v>
      </c>
      <c r="N19" s="1">
        <v>27</v>
      </c>
      <c r="O19" s="8">
        <v>0.4</v>
      </c>
      <c r="P19" s="1">
        <v>0.48</v>
      </c>
    </row>
    <row r="20" spans="1:16" x14ac:dyDescent="0.35">
      <c r="A20" s="1" t="s">
        <v>34</v>
      </c>
      <c r="B20" s="1" t="s">
        <v>46</v>
      </c>
      <c r="C20" s="6">
        <v>6359094000</v>
      </c>
      <c r="D20" s="6">
        <v>13587686000</v>
      </c>
      <c r="E20" s="1">
        <v>4.26</v>
      </c>
      <c r="F20" s="1">
        <v>3.52</v>
      </c>
      <c r="G20" s="1">
        <v>0.25</v>
      </c>
      <c r="H20" s="1">
        <v>0.28000000000000003</v>
      </c>
      <c r="I20" s="1">
        <v>1.34</v>
      </c>
      <c r="J20" s="1">
        <v>1.79</v>
      </c>
      <c r="K20" s="6">
        <v>8780426500</v>
      </c>
      <c r="L20" s="6">
        <v>8780426500</v>
      </c>
      <c r="M20" s="1">
        <v>33</v>
      </c>
      <c r="N20" s="1">
        <v>31</v>
      </c>
      <c r="O20" s="1">
        <v>0.57999999999999996</v>
      </c>
      <c r="P20" s="1">
        <v>0.62</v>
      </c>
    </row>
    <row r="21" spans="1:16" x14ac:dyDescent="0.35">
      <c r="A21" s="1" t="s">
        <v>35</v>
      </c>
      <c r="B21" s="1" t="s">
        <v>46</v>
      </c>
      <c r="C21" s="6">
        <v>18711507032</v>
      </c>
      <c r="D21" s="6">
        <v>20666759424</v>
      </c>
      <c r="E21" s="1">
        <v>28.54</v>
      </c>
      <c r="F21" s="1">
        <v>45.45</v>
      </c>
      <c r="G21" s="1">
        <v>0.02</v>
      </c>
      <c r="H21" s="8">
        <v>0</v>
      </c>
      <c r="I21" s="1">
        <v>2.71</v>
      </c>
      <c r="J21" s="1">
        <v>3.26</v>
      </c>
      <c r="K21" s="6">
        <v>1129925000</v>
      </c>
      <c r="L21" s="6">
        <v>1129925000</v>
      </c>
      <c r="M21" s="1">
        <v>44</v>
      </c>
      <c r="N21" s="1">
        <v>52</v>
      </c>
      <c r="O21" s="1">
        <v>1.49</v>
      </c>
      <c r="P21" s="1">
        <v>1.75</v>
      </c>
    </row>
    <row r="22" spans="1:16" x14ac:dyDescent="0.35">
      <c r="A22" s="1" t="s">
        <v>36</v>
      </c>
      <c r="B22" s="1" t="s">
        <v>46</v>
      </c>
      <c r="C22" s="6">
        <v>3382209769</v>
      </c>
      <c r="D22" s="6">
        <v>1271888674</v>
      </c>
      <c r="E22" s="8">
        <v>12.4</v>
      </c>
      <c r="F22" s="1">
        <v>12.42</v>
      </c>
      <c r="G22" s="1">
        <v>0.02</v>
      </c>
      <c r="H22" s="1">
        <v>0.01</v>
      </c>
      <c r="I22" s="1">
        <v>4.45</v>
      </c>
      <c r="J22" s="1">
        <v>3.77</v>
      </c>
      <c r="K22" s="6">
        <v>46875122110</v>
      </c>
      <c r="L22" s="6">
        <v>46875122110</v>
      </c>
      <c r="M22" s="1">
        <v>43</v>
      </c>
      <c r="N22" s="1">
        <v>40</v>
      </c>
      <c r="O22" s="1">
        <v>1.0900000000000001</v>
      </c>
      <c r="P22" s="1">
        <v>1.0900000000000001</v>
      </c>
    </row>
    <row r="23" spans="1:16" x14ac:dyDescent="0.35">
      <c r="A23" s="1" t="s">
        <v>37</v>
      </c>
      <c r="B23" s="1" t="s">
        <v>46</v>
      </c>
      <c r="C23" s="6">
        <v>910934488</v>
      </c>
      <c r="D23" s="6">
        <v>7218609561</v>
      </c>
      <c r="E23" s="1">
        <v>2.83</v>
      </c>
      <c r="F23" s="1">
        <v>1.51</v>
      </c>
      <c r="G23" s="1">
        <v>0.12</v>
      </c>
      <c r="H23" s="1">
        <v>0.28000000000000003</v>
      </c>
      <c r="I23" s="1">
        <v>1.38</v>
      </c>
      <c r="J23" s="1">
        <v>1.48</v>
      </c>
      <c r="K23" s="6">
        <v>22904850815</v>
      </c>
      <c r="L23" s="6">
        <v>24110850771</v>
      </c>
      <c r="M23" s="1">
        <v>32</v>
      </c>
      <c r="N23" s="1">
        <v>19</v>
      </c>
      <c r="O23" s="1">
        <v>0.35</v>
      </c>
      <c r="P23" s="1">
        <v>0.34</v>
      </c>
    </row>
    <row r="24" spans="1:16" x14ac:dyDescent="0.35">
      <c r="A24" s="1" t="s">
        <v>38</v>
      </c>
      <c r="B24" s="1" t="s">
        <v>46</v>
      </c>
      <c r="C24" s="6">
        <v>8277522669</v>
      </c>
      <c r="D24" s="6">
        <v>17407498302</v>
      </c>
      <c r="E24" s="1">
        <v>0.83</v>
      </c>
      <c r="F24" s="1">
        <v>7.66</v>
      </c>
      <c r="G24" s="1">
        <v>0.47</v>
      </c>
      <c r="H24" s="1">
        <v>0.39</v>
      </c>
      <c r="I24" s="1">
        <v>1.69</v>
      </c>
      <c r="J24" s="1">
        <v>1.27</v>
      </c>
      <c r="K24" s="6">
        <v>25136231252</v>
      </c>
      <c r="L24" s="6">
        <v>25136231252</v>
      </c>
      <c r="M24" s="1">
        <v>43</v>
      </c>
      <c r="N24" s="1">
        <v>54</v>
      </c>
      <c r="O24" s="1">
        <v>0.23</v>
      </c>
      <c r="P24" s="1">
        <v>0.38</v>
      </c>
    </row>
    <row r="25" spans="1:16" x14ac:dyDescent="0.35">
      <c r="A25" s="1" t="s">
        <v>39</v>
      </c>
      <c r="B25" s="1" t="s">
        <v>46</v>
      </c>
      <c r="C25" s="6">
        <v>5086729356</v>
      </c>
      <c r="D25" s="6">
        <v>15119560404</v>
      </c>
      <c r="E25" s="1">
        <v>4.05</v>
      </c>
      <c r="F25" s="1">
        <v>4.53</v>
      </c>
      <c r="G25" s="1">
        <v>0.32</v>
      </c>
      <c r="H25" s="1">
        <v>0.28999999999999998</v>
      </c>
      <c r="I25" s="1">
        <v>2.4900000000000002</v>
      </c>
      <c r="J25" s="1">
        <v>2.23</v>
      </c>
      <c r="K25" s="6">
        <v>24241508196</v>
      </c>
      <c r="L25" s="6">
        <v>24241508196</v>
      </c>
      <c r="M25" s="1">
        <v>19</v>
      </c>
      <c r="N25" s="1">
        <v>22</v>
      </c>
      <c r="O25" s="1">
        <v>0.41</v>
      </c>
      <c r="P25" s="1">
        <v>0.51</v>
      </c>
    </row>
    <row r="26" spans="1:16" x14ac:dyDescent="0.35">
      <c r="A26" s="1" t="s">
        <v>40</v>
      </c>
      <c r="B26" s="1" t="s">
        <v>46</v>
      </c>
      <c r="C26" s="6">
        <v>12567582000</v>
      </c>
      <c r="D26" s="6">
        <v>12527439000</v>
      </c>
      <c r="E26" s="1">
        <v>21.89</v>
      </c>
      <c r="F26" s="1">
        <v>27.71</v>
      </c>
      <c r="G26" s="1">
        <v>0.02</v>
      </c>
      <c r="H26" s="1">
        <v>0.02</v>
      </c>
      <c r="I26" s="1">
        <v>2.4300000000000002</v>
      </c>
      <c r="J26" s="1">
        <v>2.2799999999999998</v>
      </c>
      <c r="K26" s="6">
        <v>11520659250</v>
      </c>
      <c r="L26" s="6">
        <v>11520659250</v>
      </c>
      <c r="M26" s="1">
        <v>46</v>
      </c>
      <c r="N26" s="1">
        <v>42</v>
      </c>
      <c r="O26" s="1">
        <v>0.97</v>
      </c>
      <c r="P26" s="1">
        <v>1.05</v>
      </c>
    </row>
    <row r="27" spans="1:16" x14ac:dyDescent="0.35">
      <c r="A27" s="1" t="s">
        <v>41</v>
      </c>
      <c r="B27" s="1" t="s">
        <v>46</v>
      </c>
      <c r="C27" s="6">
        <v>2364836000</v>
      </c>
      <c r="D27" s="6">
        <v>6037529000</v>
      </c>
      <c r="E27" s="8">
        <v>2.5</v>
      </c>
      <c r="F27" s="1">
        <v>2.85</v>
      </c>
      <c r="G27" s="1">
        <v>0.19</v>
      </c>
      <c r="H27" s="1">
        <v>0.16</v>
      </c>
      <c r="I27" s="1">
        <v>1.1100000000000001</v>
      </c>
      <c r="J27" s="1">
        <v>1.45</v>
      </c>
      <c r="K27" s="6">
        <v>5931520000</v>
      </c>
      <c r="L27" s="6">
        <v>6751540089</v>
      </c>
      <c r="M27" s="1">
        <v>32</v>
      </c>
      <c r="N27" s="1">
        <v>29</v>
      </c>
      <c r="O27" s="1">
        <v>0.46</v>
      </c>
      <c r="P27" s="1">
        <v>0.44</v>
      </c>
    </row>
    <row r="28" spans="1:16" x14ac:dyDescent="0.35">
      <c r="A28" s="1" t="s">
        <v>42</v>
      </c>
      <c r="B28" s="1" t="s">
        <v>46</v>
      </c>
      <c r="C28" s="6">
        <v>20753000000</v>
      </c>
      <c r="D28" s="6">
        <v>73354000000</v>
      </c>
      <c r="E28" s="1">
        <v>8.93</v>
      </c>
      <c r="F28" s="1">
        <v>7.54</v>
      </c>
      <c r="G28" s="1">
        <v>0.13</v>
      </c>
      <c r="H28" s="8">
        <v>0.1</v>
      </c>
      <c r="I28" s="1">
        <v>0.89</v>
      </c>
      <c r="J28" s="1">
        <v>0.78</v>
      </c>
      <c r="K28" s="6">
        <v>99062216600</v>
      </c>
      <c r="L28" s="6">
        <v>99062216600</v>
      </c>
      <c r="M28" s="1">
        <v>33</v>
      </c>
      <c r="N28" s="1">
        <v>27</v>
      </c>
      <c r="O28" s="6">
        <v>0.55000000000000004</v>
      </c>
      <c r="P28" s="6">
        <v>0.53</v>
      </c>
    </row>
    <row r="29" spans="1:16" x14ac:dyDescent="0.35">
      <c r="A29" s="1" t="s">
        <v>43</v>
      </c>
      <c r="B29" s="1" t="s">
        <v>46</v>
      </c>
      <c r="C29" s="6">
        <v>3442025000</v>
      </c>
      <c r="D29" s="6">
        <v>8072991000</v>
      </c>
      <c r="E29" s="5">
        <v>5.21</v>
      </c>
      <c r="F29" s="5">
        <v>5.24</v>
      </c>
      <c r="G29" s="5">
        <v>0.43</v>
      </c>
      <c r="H29" s="5">
        <v>0.52</v>
      </c>
      <c r="I29" s="6">
        <v>0.34</v>
      </c>
      <c r="J29" s="6">
        <v>0.25</v>
      </c>
      <c r="K29" s="6">
        <v>51014625000</v>
      </c>
      <c r="L29" s="6">
        <v>51014625000</v>
      </c>
      <c r="M29" s="5">
        <v>73</v>
      </c>
      <c r="N29" s="5">
        <v>74</v>
      </c>
      <c r="O29" s="6">
        <v>0.17</v>
      </c>
      <c r="P29" s="6">
        <v>0.17</v>
      </c>
    </row>
    <row r="30" spans="1:16" x14ac:dyDescent="0.35">
      <c r="A30" s="1" t="s">
        <v>44</v>
      </c>
      <c r="B30" s="1" t="s">
        <v>46</v>
      </c>
      <c r="C30" s="6">
        <v>21005105000</v>
      </c>
      <c r="D30" s="6">
        <v>32891585000</v>
      </c>
      <c r="E30" s="5">
        <v>9.1300000000000008</v>
      </c>
      <c r="F30" s="5">
        <v>14.95</v>
      </c>
      <c r="G30" s="1">
        <v>0.03</v>
      </c>
      <c r="H30" s="1">
        <v>0.01</v>
      </c>
      <c r="I30" s="6">
        <v>1.99</v>
      </c>
      <c r="J30" s="6">
        <v>1.88</v>
      </c>
      <c r="K30" s="6">
        <v>3730135136</v>
      </c>
      <c r="L30" s="6">
        <v>3730135136</v>
      </c>
      <c r="M30" s="1">
        <v>25</v>
      </c>
      <c r="N30" s="1">
        <v>28</v>
      </c>
      <c r="O30" s="1">
        <v>0.75</v>
      </c>
      <c r="P30" s="1">
        <v>0.98</v>
      </c>
    </row>
    <row r="31" spans="1:16" x14ac:dyDescent="0.35">
      <c r="A31" s="1" t="s">
        <v>45</v>
      </c>
      <c r="B31" s="1" t="s">
        <v>46</v>
      </c>
      <c r="C31" s="6">
        <v>5364761000</v>
      </c>
      <c r="D31" s="6">
        <v>8061314000</v>
      </c>
      <c r="E31" s="9">
        <v>30.2</v>
      </c>
      <c r="F31" s="5">
        <v>29.29</v>
      </c>
      <c r="G31" s="8">
        <v>0</v>
      </c>
      <c r="H31" s="8">
        <v>0</v>
      </c>
      <c r="I31" s="6">
        <v>0.61</v>
      </c>
      <c r="J31" s="6">
        <v>0.61</v>
      </c>
      <c r="K31" s="6">
        <v>38150000000</v>
      </c>
      <c r="L31" s="6">
        <v>38150000000</v>
      </c>
      <c r="M31" s="1">
        <v>50</v>
      </c>
      <c r="N31" s="1">
        <v>46</v>
      </c>
      <c r="O31" s="6">
        <v>2</v>
      </c>
      <c r="P31" s="6">
        <v>2.21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7C58-F2B5-4928-977F-C06EBE5904C7}">
  <dimension ref="D6:L8"/>
  <sheetViews>
    <sheetView workbookViewId="0">
      <selection activeCell="L7" sqref="L7"/>
    </sheetView>
  </sheetViews>
  <sheetFormatPr defaultRowHeight="14.5" x14ac:dyDescent="0.35"/>
  <cols>
    <col min="10" max="10" width="11.1796875" customWidth="1"/>
    <col min="11" max="11" width="18.7265625" customWidth="1"/>
    <col min="12" max="12" width="15.1796875" customWidth="1"/>
  </cols>
  <sheetData>
    <row r="6" spans="4:12" x14ac:dyDescent="0.35">
      <c r="D6" t="s">
        <v>47</v>
      </c>
    </row>
    <row r="7" spans="4:12" x14ac:dyDescent="0.35">
      <c r="E7" t="s">
        <v>48</v>
      </c>
      <c r="J7" s="3" t="s">
        <v>50</v>
      </c>
      <c r="K7">
        <v>8121200000</v>
      </c>
      <c r="L7" s="4">
        <f>K7/K8</f>
        <v>0.73590590495349162</v>
      </c>
    </row>
    <row r="8" spans="4:12" x14ac:dyDescent="0.35">
      <c r="E8" t="s">
        <v>49</v>
      </c>
      <c r="J8" s="3" t="s">
        <v>51</v>
      </c>
      <c r="K8">
        <v>11035650000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iwann wn</dc:creator>
  <cp:lastModifiedBy>iwann wn</cp:lastModifiedBy>
  <dcterms:created xsi:type="dcterms:W3CDTF">2015-06-05T18:17:20Z</dcterms:created>
  <dcterms:modified xsi:type="dcterms:W3CDTF">2023-12-15T03:14:58Z</dcterms:modified>
</cp:coreProperties>
</file>